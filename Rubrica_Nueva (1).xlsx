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igmotoa/Documents/Catolica/2026/s1/WEB/Integrador/"/>
    </mc:Choice>
  </mc:AlternateContent>
  <xr:revisionPtr revIDLastSave="0" documentId="13_ncr:1_{D8E99507-2713-E748-9F36-826BD43DA72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royecto Integra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L26" i="1"/>
  <c r="L25" i="1"/>
  <c r="L24" i="1"/>
  <c r="L22" i="1"/>
  <c r="L21" i="1"/>
  <c r="L20" i="1"/>
  <c r="L19" i="1"/>
  <c r="L18" i="1"/>
  <c r="L17" i="1"/>
  <c r="L28" i="1" s="1"/>
  <c r="L15" i="1"/>
  <c r="L14" i="1"/>
  <c r="L13" i="1"/>
  <c r="L12" i="1"/>
  <c r="L11" i="1"/>
  <c r="L10" i="1"/>
  <c r="L9" i="1"/>
  <c r="L8" i="1"/>
  <c r="L16" i="1" s="1"/>
  <c r="L29" i="1" l="1"/>
  <c r="J30" i="1" s="1"/>
</calcChain>
</file>

<file path=xl/sharedStrings.xml><?xml version="1.0" encoding="utf-8"?>
<sst xmlns="http://schemas.openxmlformats.org/spreadsheetml/2006/main" count="97" uniqueCount="93">
  <si>
    <t>Formato de Evaluación - Proyecto Integrador
Ingeniería de Sistemas y Computación</t>
  </si>
  <si>
    <t>Código / Tema del Proyecto:</t>
  </si>
  <si>
    <t>Título del Proyecto / Tema</t>
  </si>
  <si>
    <t>Nombre del Estudiante</t>
  </si>
  <si>
    <t>Código</t>
  </si>
  <si>
    <t>Institución</t>
  </si>
  <si>
    <t>Universidad Católica de Colombia</t>
  </si>
  <si>
    <t>Nombre del Evaluador</t>
  </si>
  <si>
    <t>Fecha de Evaluación</t>
  </si>
  <si>
    <t>Semestre</t>
  </si>
  <si>
    <t>CRITERIOS DE EVALUACIÓN</t>
  </si>
  <si>
    <t>PESO
MÁXIMO</t>
  </si>
  <si>
    <t>TABLA DE PUNTUACIÓN</t>
  </si>
  <si>
    <t>PUNTUACIÓN
OTORGADA</t>
  </si>
  <si>
    <t>JUSTIFICACIÓN DE PUNTUACIÓN ASIGNADA</t>
  </si>
  <si>
    <t>PUNTAJE</t>
  </si>
  <si>
    <t>Regular
(Nivel 0)</t>
  </si>
  <si>
    <t>Estándar
(Nivel 1-2)</t>
  </si>
  <si>
    <t>Sobresaliente
(Nivel 3)</t>
  </si>
  <si>
    <t>PARTE I: EVALUACIÓN CONCEPTUAL Y SUSTENTACIÓN  (9 pts)</t>
  </si>
  <si>
    <t>1. Arquitectura y Diseño del Sistema</t>
  </si>
  <si>
    <t>0 pts.
No presenta diagramas o son incoherentes con el código.</t>
  </si>
  <si>
    <t>0.3 pts.
Diagramas básicos incompletos. Arquitectura no reflejada en el código.
0.75 pts.
Diagramas parciales con inconsistencias menores.</t>
  </si>
  <si>
    <t>1.5 pts.
Diagramas completos y coherentes con la implementación. Arquitectura justificada.</t>
  </si>
  <si>
    <t>2. Uso de FastAPI como Framework Principal</t>
  </si>
  <si>
    <t>0 pts.
Usa otro framework sin justificación. No demuestra comprensión de FastAPI.</t>
  </si>
  <si>
    <t>0.3 pts.
Usa FastAPI de forma muy básica o mezclado con otro framework sin justificación.
0.75 pts.
Usa FastAPI correctamente pero solo con patrones básicos.</t>
  </si>
  <si>
    <t>1.5 pts.
FastAPI es el framework principal, con patrones avanzados, validaciones Pydantic y documentación automática (Swagger).</t>
  </si>
  <si>
    <t>3. Modelado de Datos y Relaciones</t>
  </si>
  <si>
    <t>0 pts.
Modelos inexistentes, incompletos o sin relaciones entre sí. No cumple el mínimo de 2 modelos.</t>
  </si>
  <si>
    <t>0.3 pts.
Dos modelos con relaciones triviales o mal implementadas.
0.75 pts.
Dos o más modelos funcionales. Falta profundidad en las relaciones.</t>
  </si>
  <si>
    <t>1.5 pts.
Múltiples modelos con relaciones significativas (1:N, N:M). Diseño bien justificado.</t>
  </si>
  <si>
    <t>4. Implementación del CRUD y Lógica de Negocio</t>
  </si>
  <si>
    <t>0 pts.
CRUD incompleto o no funcional. Sin reglas de negocio.</t>
  </si>
  <si>
    <t>0.3 pts.
CRUD básico sin validaciones robustas. Reglas simples o ausentes.
0.75 pts.
CRUD completo con validaciones básicas. Algunas reglas de negocio.</t>
  </si>
  <si>
    <t>1.5 pts.
CRUD completo con validaciones robustas. Reglas de negocio complejas y coherentes con el dominio.</t>
  </si>
  <si>
    <t>5. Documentación Técnica
(README, Diagramas, Código)</t>
  </si>
  <si>
    <t>0 pts.
Documentación ausente o deficiente. Código sin comentarios. README vacío.</t>
  </si>
  <si>
    <t>0.2 pts.
Documentación mínima. README básico incompleto. Pocos comentarios.
0.5 pts.
Documentación aceptable. README explica el proyecto. Código comentado en partes críticas.</t>
  </si>
  <si>
    <t>1.0 pts.
Documentación completa y profesional. README detallado. Código bien comentado. Diagramas y endpoints documentados.</t>
  </si>
  <si>
    <t>6. Profundidad de Conocimiento en la Sustentación</t>
  </si>
  <si>
    <t>0 pts.
No explica decisiones ni código. Se evidencia falta de autoría.</t>
  </si>
  <si>
    <t>0.3 pts.
Explicación superficial. Dificultad para justificar decisiones técnicas.
0.75 pts.
Explica adecuadamente. Comprensión general pero duda en aspectos específicos.</t>
  </si>
  <si>
    <t>1.5 pts.
Explica con claridad y profundidad. Demuestra autoría completa y dominio técnico.</t>
  </si>
  <si>
    <t>7. Claridad Expositiva y Comunicación Técnica</t>
  </si>
  <si>
    <t>0 pts.
Exposición confusa y desorganizada. No comunica efectivamente.</t>
  </si>
  <si>
    <t>0.1 pts.
Exposición básica con fallas de organización. Dificultad para explicar conceptos.
0.25 pts.
Exposición clara y organizada. Comunica los aspectos principales.</t>
  </si>
  <si>
    <t>0.5 pts.
Exposición excelente, estructurada y precisa. Comunica conceptos complejos con claridad.</t>
  </si>
  <si>
    <t>SUBTOTAL PARTE I:</t>
  </si>
  <si>
    <t>PARTE II: VALIDACIÓN TÉCNICA FUNCIONAL  (11 pts)</t>
  </si>
  <si>
    <t>8. Despliegue Funcional en URL Pública</t>
  </si>
  <si>
    <t>0 pts.
No está desplegado o la URL no funciona.</t>
  </si>
  <si>
    <t>0.3 pts.
Desplegado con errores críticos o caídas frecuentes (&gt;10s).
0.75 pts.
Funcional con errores menores o tiempos de respuesta 5-10s.</t>
  </si>
  <si>
    <t>1.5 pts.
Completamente funcional, estable, tiempos &lt;5s. Todas las rutas operativas.</t>
  </si>
  <si>
    <t>9. Base de Datos en Servidor Remoto</t>
  </si>
  <si>
    <t>0 pts.
No usa BD en servidor o solo archivos locales (CSV, JSON).</t>
  </si>
  <si>
    <t>0.3 pts.
Usa SQLite local. No cumple el requisito remoto.
0.75 pts.
BD en servidor con problemas de conexión o datos inconsistentes.</t>
  </si>
  <si>
    <t>1.5 pts.
BD correctamente configurada en servidor remoto con datos coherentes y persistentes.</t>
  </si>
  <si>
    <t>10. Gestión de Archivos Multimedia
(Upload / Visualización)</t>
  </si>
  <si>
    <t>0 pts.
No implementa carga ni gestión de multimedia.</t>
  </si>
  <si>
    <t>0.3 pts.
Carga solo en almacenamiento local, sin servicio de storage externo.
0.75 pts.
Carga a servicio externo con validaciones deficientes o problemas de visualización.</t>
  </si>
  <si>
    <t>1.5 pts.
Carga, almacenamiento externo y visualización correcta con validaciones adecuadas.</t>
  </si>
  <si>
    <t>11. Respuestas HTML Estilizadas y Funcionales</t>
  </si>
  <si>
    <t>0 pts.
No responde HTML o HTML sin estilos. Completamente básico.</t>
  </si>
  <si>
    <t>0.3 pts.
HTML con estilos mínimos, sin framework CSS. Interfaz no funcional.
0.75 pts.
HTML con estilos aceptables usando framework CSS. Interfaz funcional con problemas.</t>
  </si>
  <si>
    <t>1.5 pts.
HTML profesionalmente estilizado. Interfaz clara, usable y responsiva.</t>
  </si>
  <si>
    <t>12. Formularios HTML y Validación de Datos</t>
  </si>
  <si>
    <t>0 pts.
No implementa formularios HTML o no funcionan. Sin validaciones.</t>
  </si>
  <si>
    <t>0.2 pts.
Formularios básicos con validaciones solo backend. Frontend acepta datos incoherentes.
0.5 pts.
Formularios funcionales con validaciones básicas front/back. Falta retroalimentación.</t>
  </si>
  <si>
    <t>1.0 pts.
Formularios completos con validaciones robustas front y back. Retroalimentación clara de errores.</t>
  </si>
  <si>
    <t>CRITERIOS BINARIOS OBLIGATORIOS  (Solo admiten 0 pts = No Cumple  ó  puntaje completo = Cumple)</t>
  </si>
  <si>
    <t>13. Datos Coherentes en el Sistema</t>
  </si>
  <si>
    <t>NO CUMPLE
0 pts.
Los datos son incoherentes (ej: 'asdfgh', 'test123'). No demuestra cuidado en la implementación.</t>
  </si>
  <si>
    <t>—</t>
  </si>
  <si>
    <t>CUMPLE
1.0 pts.
Todos los datos son coherentes y realistas (aunque sean mock/dummy). Sistema poblado profesionalmente.</t>
  </si>
  <si>
    <t>14. Funcionalidad de Búsqueda en HTML</t>
  </si>
  <si>
    <t>NO CUMPLE
0 pts.
No implementa búsqueda funcional en la interfaz HTML.</t>
  </si>
  <si>
    <t>CUMPLE
1.0 pts.
Implementa búsqueda funcional integrada en HTML (navbar, campo de búsqueda, filtros). Retorna resultados coherentes.</t>
  </si>
  <si>
    <t>15. Reportes / Dashboards / Gráficas en HTML</t>
  </si>
  <si>
    <t>NO CUMPLE
0 pts.
No presenta reportes, estadísticas ni visualizaciones de datos en la interfaz HTML.</t>
  </si>
  <si>
    <t>CUMPLE
1.0 pts.
Presenta reportes/dashboards con gráficas o estadísticas integradas en HTML. Información útil derivada de los datos.</t>
  </si>
  <si>
    <t>16. Repositorio GitHub Completo y Organizado</t>
  </si>
  <si>
    <t>NO CUMPLE
0 pts.
Repositorio incompleto, desorganizado o README deficiente / ausente.</t>
  </si>
  <si>
    <t>CUMPLE
1.0 pts.
Repositorio completo con estructura clara, .gitignore apropiado, README profesional y documentación técnica completa.</t>
  </si>
  <si>
    <t>SUBTOTAL PARTE II:</t>
  </si>
  <si>
    <t>CALIFICACIÓN FINAL  (sobre 20 puntos):</t>
  </si>
  <si>
    <t>Resultado:</t>
  </si>
  <si>
    <t>NOTA: Los criterios binarios (13-16) solo admiten 0 pts (No Cumple) o el puntaje completo (Cumple). Son requisitos fundamentales e innegociables del proyecto. La calificación mínima de aprobación es 12/20.</t>
  </si>
  <si>
    <t>OBSERVACIONES GENERALES DEL EVALUADOR (mínimo 100 palabras):</t>
  </si>
  <si>
    <t>FIRMA DEL EVALUADOR</t>
  </si>
  <si>
    <t>Subtotal:</t>
  </si>
  <si>
    <t xml:space="preserve">Proyecto Integrador – Desarrollo de Software </t>
  </si>
  <si>
    <t>Modalidad: Proyecto Integrador
Ingenierìa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</si>
</sst>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i/>
      <sz val="9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8EAADB"/>
      </patternFill>
    </fill>
    <fill>
      <patternFill patternType="solid">
        <fgColor rgb="FF9CC2E5"/>
      </patternFill>
    </fill>
    <fill>
      <patternFill patternType="solid">
        <fgColor rgb="FFB4C6E7"/>
      </patternFill>
    </fill>
    <fill>
      <patternFill patternType="solid">
        <fgColor rgb="FFDEEAF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/>
    <xf numFmtId="0" fontId="10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C19" zoomScale="159" workbookViewId="0">
      <selection activeCell="A3" sqref="A3:L3"/>
    </sheetView>
  </sheetViews>
  <sheetFormatPr baseColWidth="10" defaultColWidth="8.83203125" defaultRowHeight="15" x14ac:dyDescent="0.2"/>
  <cols>
    <col min="1" max="1" width="6" customWidth="1"/>
    <col min="2" max="2" width="28" customWidth="1"/>
    <col min="3" max="3" width="8" customWidth="1"/>
    <col min="4" max="6" width="22" customWidth="1"/>
    <col min="7" max="7" width="12" customWidth="1"/>
    <col min="8" max="10" width="8" customWidth="1"/>
    <col min="11" max="11" width="20" customWidth="1"/>
    <col min="12" max="12" width="10" customWidth="1"/>
  </cols>
  <sheetData>
    <row r="1" spans="1:12" ht="30" customHeight="1" x14ac:dyDescent="0.2">
      <c r="A1" s="19" t="s">
        <v>0</v>
      </c>
      <c r="B1" s="11"/>
      <c r="C1" s="11"/>
      <c r="D1" s="11"/>
      <c r="E1" s="11"/>
      <c r="F1" s="11"/>
      <c r="G1" s="10" t="s">
        <v>1</v>
      </c>
      <c r="H1" s="11"/>
      <c r="I1" s="11"/>
      <c r="J1" s="10" t="s">
        <v>92</v>
      </c>
      <c r="K1" s="11"/>
      <c r="L1" s="11"/>
    </row>
    <row r="2" spans="1:12" ht="30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2" customHeight="1" x14ac:dyDescent="0.2">
      <c r="A3" s="23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22" customHeight="1" x14ac:dyDescent="0.2">
      <c r="A4" s="10" t="s">
        <v>3</v>
      </c>
      <c r="B4" s="11"/>
      <c r="C4" s="11"/>
      <c r="D4" s="11"/>
      <c r="E4" s="10" t="s">
        <v>4</v>
      </c>
      <c r="F4" s="11"/>
      <c r="G4" s="10" t="s">
        <v>5</v>
      </c>
      <c r="H4" s="11"/>
      <c r="I4" s="15" t="s">
        <v>6</v>
      </c>
      <c r="J4" s="11"/>
      <c r="K4" s="11"/>
      <c r="L4" s="11"/>
    </row>
    <row r="5" spans="1:12" ht="22" customHeight="1" x14ac:dyDescent="0.2">
      <c r="A5" s="10" t="s">
        <v>7</v>
      </c>
      <c r="B5" s="11"/>
      <c r="C5" s="11"/>
      <c r="D5" s="11"/>
      <c r="E5" s="10" t="s">
        <v>8</v>
      </c>
      <c r="F5" s="11"/>
      <c r="G5" s="10" t="s">
        <v>9</v>
      </c>
      <c r="H5" s="11"/>
      <c r="I5" s="28"/>
      <c r="J5" s="11"/>
      <c r="K5" s="11"/>
      <c r="L5" s="11"/>
    </row>
    <row r="6" spans="1:12" ht="15" customHeight="1" x14ac:dyDescent="0.2">
      <c r="A6" s="27" t="s">
        <v>10</v>
      </c>
      <c r="B6" s="11"/>
      <c r="C6" s="27" t="s">
        <v>11</v>
      </c>
      <c r="D6" s="29" t="s">
        <v>12</v>
      </c>
      <c r="E6" s="11"/>
      <c r="F6" s="11"/>
      <c r="G6" s="17" t="s">
        <v>13</v>
      </c>
      <c r="H6" s="17" t="s">
        <v>14</v>
      </c>
      <c r="I6" s="11"/>
      <c r="J6" s="11"/>
      <c r="K6" s="11"/>
      <c r="L6" s="17" t="s">
        <v>15</v>
      </c>
    </row>
    <row r="7" spans="1:12" ht="28" customHeight="1" x14ac:dyDescent="0.2">
      <c r="A7" s="11"/>
      <c r="B7" s="11"/>
      <c r="C7" s="11"/>
      <c r="D7" s="1" t="s">
        <v>16</v>
      </c>
      <c r="E7" s="1" t="s">
        <v>17</v>
      </c>
      <c r="F7" s="1" t="s">
        <v>18</v>
      </c>
      <c r="G7" s="11"/>
      <c r="H7" s="11"/>
      <c r="I7" s="11"/>
      <c r="J7" s="11"/>
      <c r="K7" s="11"/>
      <c r="L7" s="11"/>
    </row>
    <row r="8" spans="1:12" ht="32" customHeight="1" x14ac:dyDescent="0.2">
      <c r="A8" s="22" t="s">
        <v>19</v>
      </c>
      <c r="B8" s="11"/>
      <c r="C8" s="3"/>
      <c r="D8" s="16"/>
      <c r="E8" s="11"/>
      <c r="F8" s="11"/>
      <c r="G8" s="18" t="s">
        <v>90</v>
      </c>
      <c r="H8" s="11"/>
      <c r="I8" s="11"/>
      <c r="J8" s="11"/>
      <c r="K8" s="11"/>
      <c r="L8" s="2">
        <f>SUM(L9:L15)</f>
        <v>0</v>
      </c>
    </row>
    <row r="9" spans="1:12" ht="90" customHeight="1" x14ac:dyDescent="0.2">
      <c r="A9" s="13" t="s">
        <v>20</v>
      </c>
      <c r="B9" s="11"/>
      <c r="C9" s="8">
        <v>1.5</v>
      </c>
      <c r="D9" s="9" t="s">
        <v>21</v>
      </c>
      <c r="E9" s="9" t="s">
        <v>22</v>
      </c>
      <c r="F9" s="9" t="s">
        <v>23</v>
      </c>
      <c r="G9" s="4"/>
      <c r="H9" s="14"/>
      <c r="I9" s="11"/>
      <c r="J9" s="11"/>
      <c r="K9" s="11"/>
      <c r="L9" s="5">
        <f t="shared" ref="L9:L15" si="0">IF(G9&gt;C9,"Excede máximo",G9)</f>
        <v>0</v>
      </c>
    </row>
    <row r="10" spans="1:12" ht="90" customHeight="1" x14ac:dyDescent="0.2">
      <c r="A10" s="13" t="s">
        <v>24</v>
      </c>
      <c r="B10" s="11"/>
      <c r="C10" s="8">
        <v>1.5</v>
      </c>
      <c r="D10" s="9" t="s">
        <v>25</v>
      </c>
      <c r="E10" s="9" t="s">
        <v>26</v>
      </c>
      <c r="F10" s="9" t="s">
        <v>27</v>
      </c>
      <c r="G10" s="4"/>
      <c r="H10" s="14"/>
      <c r="I10" s="11"/>
      <c r="J10" s="11"/>
      <c r="K10" s="11"/>
      <c r="L10" s="5">
        <f t="shared" si="0"/>
        <v>0</v>
      </c>
    </row>
    <row r="11" spans="1:12" ht="90" customHeight="1" x14ac:dyDescent="0.2">
      <c r="A11" s="13" t="s">
        <v>28</v>
      </c>
      <c r="B11" s="11"/>
      <c r="C11" s="8">
        <v>1.5</v>
      </c>
      <c r="D11" s="9" t="s">
        <v>29</v>
      </c>
      <c r="E11" s="9" t="s">
        <v>30</v>
      </c>
      <c r="F11" s="9" t="s">
        <v>31</v>
      </c>
      <c r="G11" s="4"/>
      <c r="H11" s="14"/>
      <c r="I11" s="11"/>
      <c r="J11" s="11"/>
      <c r="K11" s="11"/>
      <c r="L11" s="5">
        <f t="shared" si="0"/>
        <v>0</v>
      </c>
    </row>
    <row r="12" spans="1:12" ht="90" customHeight="1" x14ac:dyDescent="0.2">
      <c r="A12" s="13" t="s">
        <v>32</v>
      </c>
      <c r="B12" s="11"/>
      <c r="C12" s="8">
        <v>1.5</v>
      </c>
      <c r="D12" s="9" t="s">
        <v>33</v>
      </c>
      <c r="E12" s="9" t="s">
        <v>34</v>
      </c>
      <c r="F12" s="9" t="s">
        <v>35</v>
      </c>
      <c r="G12" s="4"/>
      <c r="H12" s="14"/>
      <c r="I12" s="11"/>
      <c r="J12" s="11"/>
      <c r="K12" s="11"/>
      <c r="L12" s="5">
        <f t="shared" si="0"/>
        <v>0</v>
      </c>
    </row>
    <row r="13" spans="1:12" ht="90" customHeight="1" x14ac:dyDescent="0.2">
      <c r="A13" s="13" t="s">
        <v>36</v>
      </c>
      <c r="B13" s="11"/>
      <c r="C13" s="8">
        <v>1</v>
      </c>
      <c r="D13" s="9" t="s">
        <v>37</v>
      </c>
      <c r="E13" s="9" t="s">
        <v>38</v>
      </c>
      <c r="F13" s="9" t="s">
        <v>39</v>
      </c>
      <c r="G13" s="4"/>
      <c r="H13" s="14"/>
      <c r="I13" s="11"/>
      <c r="J13" s="11"/>
      <c r="K13" s="11"/>
      <c r="L13" s="5">
        <f t="shared" si="0"/>
        <v>0</v>
      </c>
    </row>
    <row r="14" spans="1:12" ht="90" customHeight="1" x14ac:dyDescent="0.2">
      <c r="A14" s="13" t="s">
        <v>40</v>
      </c>
      <c r="B14" s="11"/>
      <c r="C14" s="8">
        <v>1.5</v>
      </c>
      <c r="D14" s="9" t="s">
        <v>41</v>
      </c>
      <c r="E14" s="9" t="s">
        <v>42</v>
      </c>
      <c r="F14" s="9" t="s">
        <v>43</v>
      </c>
      <c r="G14" s="4"/>
      <c r="H14" s="14"/>
      <c r="I14" s="11"/>
      <c r="J14" s="11"/>
      <c r="K14" s="11"/>
      <c r="L14" s="5">
        <f t="shared" si="0"/>
        <v>0</v>
      </c>
    </row>
    <row r="15" spans="1:12" ht="96" customHeight="1" x14ac:dyDescent="0.2">
      <c r="A15" s="13" t="s">
        <v>44</v>
      </c>
      <c r="B15" s="11"/>
      <c r="C15" s="8">
        <v>0.5</v>
      </c>
      <c r="D15" s="9" t="s">
        <v>45</v>
      </c>
      <c r="E15" s="9" t="s">
        <v>46</v>
      </c>
      <c r="F15" s="9" t="s">
        <v>47</v>
      </c>
      <c r="G15" s="4"/>
      <c r="H15" s="14"/>
      <c r="I15" s="11"/>
      <c r="J15" s="11"/>
      <c r="K15" s="11"/>
      <c r="L15" s="5">
        <f t="shared" si="0"/>
        <v>0</v>
      </c>
    </row>
    <row r="16" spans="1:12" ht="18" customHeight="1" x14ac:dyDescent="0.2">
      <c r="A16" s="21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6">
        <f>L8</f>
        <v>0</v>
      </c>
    </row>
    <row r="17" spans="1:12" ht="47" customHeight="1" x14ac:dyDescent="0.2">
      <c r="A17" s="22" t="s">
        <v>49</v>
      </c>
      <c r="B17" s="11"/>
      <c r="C17" s="3"/>
      <c r="D17" s="16"/>
      <c r="E17" s="11"/>
      <c r="F17" s="11"/>
      <c r="G17" s="18" t="s">
        <v>90</v>
      </c>
      <c r="H17" s="11"/>
      <c r="I17" s="11"/>
      <c r="J17" s="11"/>
      <c r="K17" s="11"/>
      <c r="L17" s="2">
        <f>SUM(L18:L26)</f>
        <v>0</v>
      </c>
    </row>
    <row r="18" spans="1:12" ht="90" customHeight="1" x14ac:dyDescent="0.2">
      <c r="A18" s="13" t="s">
        <v>50</v>
      </c>
      <c r="B18" s="11"/>
      <c r="C18" s="8">
        <v>1.5</v>
      </c>
      <c r="D18" s="9" t="s">
        <v>51</v>
      </c>
      <c r="E18" s="9" t="s">
        <v>52</v>
      </c>
      <c r="F18" s="9" t="s">
        <v>53</v>
      </c>
      <c r="G18" s="4"/>
      <c r="H18" s="14"/>
      <c r="I18" s="11"/>
      <c r="J18" s="11"/>
      <c r="K18" s="11"/>
      <c r="L18" s="5">
        <f>IF(G18&gt;C18,"Excede máximo",G18)</f>
        <v>0</v>
      </c>
    </row>
    <row r="19" spans="1:12" ht="90" customHeight="1" x14ac:dyDescent="0.2">
      <c r="A19" s="13" t="s">
        <v>54</v>
      </c>
      <c r="B19" s="11"/>
      <c r="C19" s="8">
        <v>1.5</v>
      </c>
      <c r="D19" s="9" t="s">
        <v>55</v>
      </c>
      <c r="E19" s="9" t="s">
        <v>56</v>
      </c>
      <c r="F19" s="9" t="s">
        <v>57</v>
      </c>
      <c r="G19" s="4"/>
      <c r="H19" s="14"/>
      <c r="I19" s="11"/>
      <c r="J19" s="11"/>
      <c r="K19" s="11"/>
      <c r="L19" s="5">
        <f>IF(G19&gt;C19,"Excede máximo",G19)</f>
        <v>0</v>
      </c>
    </row>
    <row r="20" spans="1:12" ht="90" customHeight="1" x14ac:dyDescent="0.2">
      <c r="A20" s="13" t="s">
        <v>58</v>
      </c>
      <c r="B20" s="11"/>
      <c r="C20" s="8">
        <v>1.5</v>
      </c>
      <c r="D20" s="9" t="s">
        <v>59</v>
      </c>
      <c r="E20" s="9" t="s">
        <v>60</v>
      </c>
      <c r="F20" s="9" t="s">
        <v>61</v>
      </c>
      <c r="G20" s="4"/>
      <c r="H20" s="14"/>
      <c r="I20" s="11"/>
      <c r="J20" s="11"/>
      <c r="K20" s="11"/>
      <c r="L20" s="5">
        <f>IF(G20&gt;C20,"Excede máximo",G20)</f>
        <v>0</v>
      </c>
    </row>
    <row r="21" spans="1:12" ht="90" customHeight="1" x14ac:dyDescent="0.2">
      <c r="A21" s="13" t="s">
        <v>62</v>
      </c>
      <c r="B21" s="11"/>
      <c r="C21" s="8">
        <v>1.5</v>
      </c>
      <c r="D21" s="9" t="s">
        <v>63</v>
      </c>
      <c r="E21" s="9" t="s">
        <v>64</v>
      </c>
      <c r="F21" s="9" t="s">
        <v>65</v>
      </c>
      <c r="G21" s="4"/>
      <c r="H21" s="14"/>
      <c r="I21" s="11"/>
      <c r="J21" s="11"/>
      <c r="K21" s="11"/>
      <c r="L21" s="5">
        <f>IF(G21&gt;C21,"Excede máximo",G21)</f>
        <v>0</v>
      </c>
    </row>
    <row r="22" spans="1:12" ht="90" customHeight="1" x14ac:dyDescent="0.2">
      <c r="A22" s="13" t="s">
        <v>66</v>
      </c>
      <c r="B22" s="11"/>
      <c r="C22" s="8">
        <v>1</v>
      </c>
      <c r="D22" s="9" t="s">
        <v>67</v>
      </c>
      <c r="E22" s="9" t="s">
        <v>68</v>
      </c>
      <c r="F22" s="9" t="s">
        <v>69</v>
      </c>
      <c r="G22" s="4"/>
      <c r="H22" s="14"/>
      <c r="I22" s="11"/>
      <c r="J22" s="11"/>
      <c r="K22" s="11"/>
      <c r="L22" s="5">
        <f>IF(G22&gt;C22,"Excede máximo",G22)</f>
        <v>0</v>
      </c>
    </row>
    <row r="23" spans="1:12" ht="15" customHeight="1" x14ac:dyDescent="0.2">
      <c r="A23" s="20" t="s">
        <v>70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70" customHeight="1" x14ac:dyDescent="0.2">
      <c r="A24" s="24" t="s">
        <v>71</v>
      </c>
      <c r="B24" s="11"/>
      <c r="C24" s="8">
        <v>1</v>
      </c>
      <c r="D24" s="9" t="s">
        <v>72</v>
      </c>
      <c r="E24" s="9" t="s">
        <v>73</v>
      </c>
      <c r="F24" s="9" t="s">
        <v>74</v>
      </c>
      <c r="G24" s="4"/>
      <c r="H24" s="14"/>
      <c r="I24" s="11"/>
      <c r="J24" s="11"/>
      <c r="K24" s="11"/>
      <c r="L24" s="5">
        <f>IF(G24&gt;C24,"Excede máximo",G24)</f>
        <v>0</v>
      </c>
    </row>
    <row r="25" spans="1:12" ht="70" customHeight="1" x14ac:dyDescent="0.2">
      <c r="A25" s="24" t="s">
        <v>75</v>
      </c>
      <c r="B25" s="11"/>
      <c r="C25" s="8">
        <v>1</v>
      </c>
      <c r="D25" s="9" t="s">
        <v>76</v>
      </c>
      <c r="E25" s="9" t="s">
        <v>73</v>
      </c>
      <c r="F25" s="9" t="s">
        <v>77</v>
      </c>
      <c r="G25" s="4"/>
      <c r="H25" s="14"/>
      <c r="I25" s="11"/>
      <c r="J25" s="11"/>
      <c r="K25" s="11"/>
      <c r="L25" s="5">
        <f>IF(G25&gt;C25,"Excede máximo",G25)</f>
        <v>0</v>
      </c>
    </row>
    <row r="26" spans="1:12" ht="70" customHeight="1" x14ac:dyDescent="0.2">
      <c r="A26" s="24" t="s">
        <v>78</v>
      </c>
      <c r="B26" s="11"/>
      <c r="C26" s="8">
        <v>1</v>
      </c>
      <c r="D26" s="9" t="s">
        <v>79</v>
      </c>
      <c r="E26" s="9" t="s">
        <v>73</v>
      </c>
      <c r="F26" s="9" t="s">
        <v>80</v>
      </c>
      <c r="G26" s="4"/>
      <c r="H26" s="14"/>
      <c r="I26" s="11"/>
      <c r="J26" s="11"/>
      <c r="K26" s="11"/>
      <c r="L26" s="5">
        <f>IF(G26&gt;C26,"Excede máximo",G26)</f>
        <v>0</v>
      </c>
    </row>
    <row r="27" spans="1:12" ht="70" customHeight="1" x14ac:dyDescent="0.2">
      <c r="A27" s="24" t="s">
        <v>81</v>
      </c>
      <c r="B27" s="11"/>
      <c r="C27" s="8">
        <v>1</v>
      </c>
      <c r="D27" s="9" t="s">
        <v>82</v>
      </c>
      <c r="E27" s="9" t="s">
        <v>73</v>
      </c>
      <c r="F27" s="9" t="s">
        <v>83</v>
      </c>
      <c r="G27" s="4"/>
      <c r="H27" s="14"/>
      <c r="I27" s="11"/>
      <c r="J27" s="11"/>
      <c r="K27" s="11"/>
      <c r="L27" s="5">
        <f>IF(G27&gt;C27,"Excede máximo",G27)</f>
        <v>0</v>
      </c>
    </row>
    <row r="28" spans="1:12" ht="18" customHeight="1" x14ac:dyDescent="0.2">
      <c r="A28" s="21" t="s">
        <v>84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6">
        <f>L17</f>
        <v>0</v>
      </c>
    </row>
    <row r="29" spans="1:12" ht="22" customHeight="1" x14ac:dyDescent="0.2">
      <c r="A29" s="26" t="s">
        <v>85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7">
        <f>L16+L28</f>
        <v>0</v>
      </c>
    </row>
    <row r="30" spans="1:12" ht="20" customHeight="1" x14ac:dyDescent="0.2">
      <c r="A30" s="31" t="s">
        <v>86</v>
      </c>
      <c r="B30" s="11"/>
      <c r="C30" s="11"/>
      <c r="D30" s="11"/>
      <c r="E30" s="11"/>
      <c r="F30" s="11"/>
      <c r="G30" s="11"/>
      <c r="H30" s="11"/>
      <c r="I30" s="11"/>
      <c r="J30" s="30" t="str">
        <f>IF(L29&lt;12,"No Aprobado","Aprobado")</f>
        <v>No Aprobado</v>
      </c>
      <c r="K30" s="11"/>
      <c r="L30" s="11"/>
    </row>
    <row r="31" spans="1:12" ht="28" customHeight="1" x14ac:dyDescent="0.2">
      <c r="A31" s="25" t="s">
        <v>87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5" customHeight="1" x14ac:dyDescent="0.2">
      <c r="A32" s="17" t="s">
        <v>88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18" customHeight="1" x14ac:dyDescent="0.2">
      <c r="A33" s="14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18" customHeight="1" x14ac:dyDescent="0.2">
      <c r="A34" s="14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18" customHeight="1" x14ac:dyDescent="0.2">
      <c r="A35" s="14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ht="18" customHeight="1" x14ac:dyDescent="0.2">
      <c r="A36" s="14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18" customHeight="1" x14ac:dyDescent="0.2">
      <c r="A37" s="14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8" customHeight="1" x14ac:dyDescent="0.2">
      <c r="A38" s="14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20" customHeight="1" x14ac:dyDescent="0.2">
      <c r="A39" s="17" t="s">
        <v>89</v>
      </c>
      <c r="B39" s="11"/>
      <c r="C39" s="11"/>
      <c r="D39" s="11"/>
      <c r="E39" s="14"/>
      <c r="F39" s="11"/>
      <c r="G39" s="11"/>
      <c r="H39" s="11"/>
      <c r="I39" s="12" t="s">
        <v>91</v>
      </c>
      <c r="J39" s="11"/>
      <c r="K39" s="11"/>
      <c r="L39" s="11"/>
    </row>
  </sheetData>
  <mergeCells count="73">
    <mergeCell ref="A36:L36"/>
    <mergeCell ref="A13:B13"/>
    <mergeCell ref="A28:K28"/>
    <mergeCell ref="C6:C7"/>
    <mergeCell ref="A9:B9"/>
    <mergeCell ref="D6:F6"/>
    <mergeCell ref="J30:L30"/>
    <mergeCell ref="A34:L34"/>
    <mergeCell ref="A22:B22"/>
    <mergeCell ref="A30:I30"/>
    <mergeCell ref="A33:L33"/>
    <mergeCell ref="A32:L32"/>
    <mergeCell ref="H21:K21"/>
    <mergeCell ref="G4:H4"/>
    <mergeCell ref="A20:B20"/>
    <mergeCell ref="A19:B19"/>
    <mergeCell ref="A29:K29"/>
    <mergeCell ref="H11:K11"/>
    <mergeCell ref="A10:B10"/>
    <mergeCell ref="A6:B7"/>
    <mergeCell ref="I5:L5"/>
    <mergeCell ref="A25:B25"/>
    <mergeCell ref="H26:K26"/>
    <mergeCell ref="H27:K27"/>
    <mergeCell ref="A24:B24"/>
    <mergeCell ref="H14:K14"/>
    <mergeCell ref="A39:D39"/>
    <mergeCell ref="A18:B18"/>
    <mergeCell ref="D8:F8"/>
    <mergeCell ref="A27:B27"/>
    <mergeCell ref="H10:K10"/>
    <mergeCell ref="A35:L35"/>
    <mergeCell ref="A12:B12"/>
    <mergeCell ref="A38:L38"/>
    <mergeCell ref="A26:B26"/>
    <mergeCell ref="A21:B21"/>
    <mergeCell ref="E39:H39"/>
    <mergeCell ref="H9:K9"/>
    <mergeCell ref="H25:K25"/>
    <mergeCell ref="A31:L31"/>
    <mergeCell ref="A14:B14"/>
    <mergeCell ref="A5:D5"/>
    <mergeCell ref="A1:F2"/>
    <mergeCell ref="A23:L23"/>
    <mergeCell ref="A16:K16"/>
    <mergeCell ref="G6:G7"/>
    <mergeCell ref="H20:K20"/>
    <mergeCell ref="G5:H5"/>
    <mergeCell ref="L6:L7"/>
    <mergeCell ref="A17:B17"/>
    <mergeCell ref="A8:B8"/>
    <mergeCell ref="G1:I2"/>
    <mergeCell ref="H22:K22"/>
    <mergeCell ref="H13:K13"/>
    <mergeCell ref="A15:B15"/>
    <mergeCell ref="A3:L3"/>
    <mergeCell ref="E4:F4"/>
    <mergeCell ref="J1:L2"/>
    <mergeCell ref="I39:L39"/>
    <mergeCell ref="A4:D4"/>
    <mergeCell ref="A11:B11"/>
    <mergeCell ref="H12:K12"/>
    <mergeCell ref="I4:L4"/>
    <mergeCell ref="A37:L37"/>
    <mergeCell ref="E5:F5"/>
    <mergeCell ref="D17:F17"/>
    <mergeCell ref="H6:K7"/>
    <mergeCell ref="H24:K24"/>
    <mergeCell ref="H15:K15"/>
    <mergeCell ref="G8:K8"/>
    <mergeCell ref="H19:K19"/>
    <mergeCell ref="G17:K17"/>
    <mergeCell ref="H18:K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 Integrador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IVAN GALVIS MOTOA</cp:lastModifiedBy>
  <dcterms:created xsi:type="dcterms:W3CDTF">2026-05-08T17:11:25Z</dcterms:created>
  <dcterms:modified xsi:type="dcterms:W3CDTF">2026-05-24T12:43:34Z</dcterms:modified>
</cp:coreProperties>
</file>